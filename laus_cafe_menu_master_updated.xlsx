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nu Master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hange 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" min="1" max="1"/>
    <col width="14" customWidth="1" style="5" min="2" max="2"/>
    <col width="30" customWidth="1" style="5" min="3" max="3"/>
    <col width="34" customWidth="1" style="5" min="4" max="4"/>
    <col width="20" customWidth="1" style="5" min="5" max="5"/>
    <col width="12" customWidth="1" style="5" min="6" max="6"/>
    <col width="55" customWidth="1" style="5" min="7" max="7"/>
  </cols>
  <sheetData>
    <row r="1" ht="15" customHeight="1" s="6">
      <c r="A1" s="7" t="inlineStr">
        <is>
          <t>SKU</t>
        </is>
      </c>
      <c r="B1" s="7" t="inlineStr">
        <is>
          <t>Category</t>
        </is>
      </c>
      <c r="C1" s="7" t="inlineStr">
        <is>
          <t>Subcategory</t>
        </is>
      </c>
      <c r="D1" s="7" t="inlineStr">
        <is>
          <t>Item Name</t>
        </is>
      </c>
      <c r="E1" s="7" t="inlineStr">
        <is>
          <t>Variant</t>
        </is>
      </c>
      <c r="F1" s="7" t="inlineStr">
        <is>
          <t>Price (PHP)</t>
        </is>
      </c>
      <c r="G1" s="7" t="inlineStr">
        <is>
          <t>Notes</t>
        </is>
      </c>
    </row>
    <row r="2" ht="15" customHeight="1" s="6">
      <c r="A2" s="8" t="inlineStr">
        <is>
          <t>F001</t>
        </is>
      </c>
      <c r="B2" s="8" t="inlineStr">
        <is>
          <t>Food</t>
        </is>
      </c>
      <c r="C2" s="8" t="inlineStr">
        <is>
          <t>All Day Breakfast</t>
        </is>
      </c>
      <c r="D2" s="8" t="inlineStr">
        <is>
          <t>Hungarian Sausage</t>
        </is>
      </c>
      <c r="E2" s="8" t="n"/>
      <c r="F2" s="9" t="n">
        <v>289</v>
      </c>
      <c r="G2" s="8" t="n"/>
    </row>
    <row r="3" ht="15" customHeight="1" s="6">
      <c r="A3" s="8" t="inlineStr">
        <is>
          <t>F002</t>
        </is>
      </c>
      <c r="B3" s="8" t="inlineStr">
        <is>
          <t>Food</t>
        </is>
      </c>
      <c r="C3" s="8" t="inlineStr">
        <is>
          <t>All Day Breakfast</t>
        </is>
      </c>
      <c r="D3" s="8" t="inlineStr">
        <is>
          <t>Pork Bacon</t>
        </is>
      </c>
      <c r="E3" s="8" t="n"/>
      <c r="F3" s="9" t="n">
        <v>249</v>
      </c>
      <c r="G3" s="8" t="n"/>
    </row>
    <row r="4" ht="15" customHeight="1" s="6">
      <c r="A4" s="8" t="inlineStr">
        <is>
          <t>F003</t>
        </is>
      </c>
      <c r="B4" s="8" t="inlineStr">
        <is>
          <t>Food</t>
        </is>
      </c>
      <c r="C4" s="8" t="inlineStr">
        <is>
          <t>All Day Breakfast</t>
        </is>
      </c>
      <c r="D4" s="8" t="inlineStr">
        <is>
          <t>Homemade Corned Beef</t>
        </is>
      </c>
      <c r="E4" s="8" t="n"/>
      <c r="F4" s="9" t="n">
        <v>269</v>
      </c>
      <c r="G4" s="8" t="n"/>
    </row>
    <row r="5" ht="15" customHeight="1" s="6">
      <c r="A5" s="8" t="inlineStr">
        <is>
          <t>F004</t>
        </is>
      </c>
      <c r="B5" s="8" t="inlineStr">
        <is>
          <t>Food</t>
        </is>
      </c>
      <c r="C5" s="8" t="inlineStr">
        <is>
          <t>All Day Breakfast</t>
        </is>
      </c>
      <c r="D5" s="8" t="inlineStr">
        <is>
          <t>Tomato Mozzarella Omelette</t>
        </is>
      </c>
      <c r="E5" s="8" t="n"/>
      <c r="F5" s="9" t="n">
        <v>179</v>
      </c>
      <c r="G5" s="8" t="n"/>
    </row>
    <row r="6" ht="15" customHeight="1" s="6">
      <c r="A6" s="8" t="inlineStr">
        <is>
          <t>F005</t>
        </is>
      </c>
      <c r="B6" s="8" t="inlineStr">
        <is>
          <t>Food</t>
        </is>
      </c>
      <c r="C6" s="8" t="inlineStr">
        <is>
          <t>Rice Bowls</t>
        </is>
      </c>
      <c r="D6" s="8" t="inlineStr">
        <is>
          <t>Chicken Teriyaki</t>
        </is>
      </c>
      <c r="E6" s="8" t="n"/>
      <c r="F6" s="9" t="n">
        <v>159</v>
      </c>
      <c r="G6" s="8" t="n"/>
    </row>
    <row r="7" ht="15" customHeight="1" s="6">
      <c r="A7" s="8" t="inlineStr">
        <is>
          <t>F006</t>
        </is>
      </c>
      <c r="B7" s="8" t="inlineStr">
        <is>
          <t>Food</t>
        </is>
      </c>
      <c r="C7" s="8" t="inlineStr">
        <is>
          <t>Rice Bowls</t>
        </is>
      </c>
      <c r="D7" s="8" t="inlineStr">
        <is>
          <t>Bicol Express</t>
        </is>
      </c>
      <c r="E7" s="8" t="n"/>
      <c r="F7" s="9" t="n">
        <v>169</v>
      </c>
      <c r="G7" s="8" t="n"/>
    </row>
    <row r="8" ht="15" customHeight="1" s="6">
      <c r="A8" s="8" t="inlineStr">
        <is>
          <t>F007</t>
        </is>
      </c>
      <c r="B8" s="8" t="inlineStr">
        <is>
          <t>Food</t>
        </is>
      </c>
      <c r="C8" s="8" t="inlineStr">
        <is>
          <t>Rice Bowls</t>
        </is>
      </c>
      <c r="D8" s="8" t="inlineStr">
        <is>
          <t>Sweet and Sour Fish</t>
        </is>
      </c>
      <c r="E8" s="8" t="n"/>
      <c r="F8" s="9" t="n">
        <v>174</v>
      </c>
      <c r="G8" s="8" t="n"/>
    </row>
    <row r="9" ht="15" customHeight="1" s="6">
      <c r="A9" s="8" t="inlineStr">
        <is>
          <t>F008</t>
        </is>
      </c>
      <c r="B9" s="8" t="inlineStr">
        <is>
          <t>Food</t>
        </is>
      </c>
      <c r="C9" s="8" t="inlineStr">
        <is>
          <t>Rice Bowls</t>
        </is>
      </c>
      <c r="D9" s="8" t="inlineStr">
        <is>
          <t>Garlic Pepper Beef</t>
        </is>
      </c>
      <c r="E9" s="8" t="n"/>
      <c r="F9" s="9" t="n">
        <v>184</v>
      </c>
      <c r="G9" s="8" t="n"/>
    </row>
    <row r="10" ht="15" customHeight="1" s="6">
      <c r="A10" s="8" t="inlineStr">
        <is>
          <t>F009</t>
        </is>
      </c>
      <c r="B10" s="8" t="inlineStr">
        <is>
          <t>Food</t>
        </is>
      </c>
      <c r="C10" s="8" t="inlineStr">
        <is>
          <t>Pasta and Salad</t>
        </is>
      </c>
      <c r="D10" s="8" t="inlineStr">
        <is>
          <t>Creamy Garlic Shrimp Pasta</t>
        </is>
      </c>
      <c r="E10" s="8" t="n"/>
      <c r="F10" s="9" t="n">
        <v>405</v>
      </c>
      <c r="G10" s="8" t="n"/>
    </row>
    <row r="11" ht="15" customHeight="1" s="6">
      <c r="A11" s="8" t="inlineStr">
        <is>
          <t>F010</t>
        </is>
      </c>
      <c r="B11" s="8" t="inlineStr">
        <is>
          <t>Food</t>
        </is>
      </c>
      <c r="C11" s="8" t="inlineStr">
        <is>
          <t>Pasta and Salad</t>
        </is>
      </c>
      <c r="D11" s="8" t="inlineStr">
        <is>
          <t>Chicken Alfredo Pasta</t>
        </is>
      </c>
      <c r="E11" s="8" t="n"/>
      <c r="F11" s="9" t="n">
        <v>395</v>
      </c>
      <c r="G11" s="8" t="n"/>
    </row>
    <row r="12" ht="15" customHeight="1" s="6">
      <c r="A12" s="8" t="inlineStr">
        <is>
          <t>F011</t>
        </is>
      </c>
      <c r="B12" s="8" t="inlineStr">
        <is>
          <t>Food</t>
        </is>
      </c>
      <c r="C12" s="8" t="inlineStr">
        <is>
          <t>Pasta and Salad</t>
        </is>
      </c>
      <c r="D12" s="8" t="inlineStr">
        <is>
          <t>Spicy Shrimp Aglio Olio Pasta</t>
        </is>
      </c>
      <c r="E12" s="8" t="n"/>
      <c r="F12" s="9" t="n">
        <v>395</v>
      </c>
      <c r="G12" s="8" t="n"/>
    </row>
    <row r="13" ht="15" customHeight="1" s="6">
      <c r="A13" s="8" t="inlineStr">
        <is>
          <t>F012</t>
        </is>
      </c>
      <c r="B13" s="8" t="inlineStr">
        <is>
          <t>Food</t>
        </is>
      </c>
      <c r="C13" s="8" t="inlineStr">
        <is>
          <t>Pasta and Salad</t>
        </is>
      </c>
      <c r="D13" s="8" t="inlineStr">
        <is>
          <t>Spaghetti and Meatballs</t>
        </is>
      </c>
      <c r="E13" s="8" t="n"/>
      <c r="F13" s="9" t="n">
        <v>395</v>
      </c>
      <c r="G13" s="8" t="n"/>
    </row>
    <row r="14" ht="15" customHeight="1" s="6">
      <c r="A14" s="8" t="inlineStr">
        <is>
          <t>F013</t>
        </is>
      </c>
      <c r="B14" s="8" t="inlineStr">
        <is>
          <t>Food</t>
        </is>
      </c>
      <c r="C14" s="8" t="inlineStr">
        <is>
          <t>Pasta and Salad</t>
        </is>
      </c>
      <c r="D14" s="8" t="inlineStr">
        <is>
          <t>Slow Cooked Ground Beef Ragu Pasta</t>
        </is>
      </c>
      <c r="E14" s="8" t="n"/>
      <c r="F14" s="9" t="n">
        <v>415</v>
      </c>
      <c r="G14" s="8" t="n"/>
    </row>
    <row r="15" ht="15" customHeight="1" s="6">
      <c r="A15" s="8" t="inlineStr">
        <is>
          <t>F014</t>
        </is>
      </c>
      <c r="B15" s="8" t="inlineStr">
        <is>
          <t>Food</t>
        </is>
      </c>
      <c r="C15" s="8" t="inlineStr">
        <is>
          <t>Pasta and Salad</t>
        </is>
      </c>
      <c r="D15" s="8" t="inlineStr">
        <is>
          <t>Seafood Aligue Pasta</t>
        </is>
      </c>
      <c r="E15" s="8" t="n"/>
      <c r="F15" s="9" t="n">
        <v>425</v>
      </c>
      <c r="G15" s="8" t="n"/>
    </row>
    <row r="16" ht="15" customHeight="1" s="6">
      <c r="A16" s="8" t="inlineStr">
        <is>
          <t>F015</t>
        </is>
      </c>
      <c r="B16" s="8" t="inlineStr">
        <is>
          <t>Food</t>
        </is>
      </c>
      <c r="C16" s="8" t="inlineStr">
        <is>
          <t>Pasta and Salad</t>
        </is>
      </c>
      <c r="D16" s="8" t="inlineStr">
        <is>
          <t>Classic Caesar Salad</t>
        </is>
      </c>
      <c r="E16" s="8" t="n"/>
      <c r="F16" s="9" t="n">
        <v>425</v>
      </c>
      <c r="G16" s="8" t="n"/>
    </row>
    <row r="17" ht="15" customHeight="1" s="6">
      <c r="A17" s="8" t="inlineStr">
        <is>
          <t>F016</t>
        </is>
      </c>
      <c r="B17" s="8" t="inlineStr">
        <is>
          <t>Food</t>
        </is>
      </c>
      <c r="C17" s="8" t="inlineStr">
        <is>
          <t>Pasta and Salad</t>
        </is>
      </c>
      <c r="D17" s="8" t="inlineStr">
        <is>
          <t>Summer Salad</t>
        </is>
      </c>
      <c r="E17" s="8" t="n"/>
      <c r="F17" s="9" t="n">
        <v>430</v>
      </c>
      <c r="G17" s="8" t="n"/>
    </row>
    <row r="18" ht="15" customHeight="1" s="6">
      <c r="A18" s="8" t="inlineStr">
        <is>
          <t>F017</t>
        </is>
      </c>
      <c r="B18" s="8" t="inlineStr">
        <is>
          <t>Food</t>
        </is>
      </c>
      <c r="C18" s="8" t="inlineStr">
        <is>
          <t>Burgers and Taco</t>
        </is>
      </c>
      <c r="D18" s="8" t="inlineStr">
        <is>
          <t>Quarter Pound Burger</t>
        </is>
      </c>
      <c r="E18" s="8" t="inlineStr">
        <is>
          <t>with homemade fries</t>
        </is>
      </c>
      <c r="F18" s="9" t="n">
        <v>269</v>
      </c>
      <c r="G18" s="8" t="n"/>
    </row>
    <row r="19" ht="15" customHeight="1" s="6">
      <c r="A19" s="8" t="inlineStr">
        <is>
          <t>F018</t>
        </is>
      </c>
      <c r="B19" s="8" t="inlineStr">
        <is>
          <t>Food</t>
        </is>
      </c>
      <c r="C19" s="8" t="inlineStr">
        <is>
          <t>Burgers and Taco</t>
        </is>
      </c>
      <c r="D19" s="8" t="inlineStr">
        <is>
          <t>Korean Chicken Sandwich</t>
        </is>
      </c>
      <c r="E19" s="8" t="inlineStr">
        <is>
          <t>with homemade fries</t>
        </is>
      </c>
      <c r="F19" s="9" t="n">
        <v>279</v>
      </c>
      <c r="G19" s="8" t="n"/>
    </row>
    <row r="20" ht="15" customHeight="1" s="6">
      <c r="A20" s="8" t="inlineStr">
        <is>
          <t>F019</t>
        </is>
      </c>
      <c r="B20" s="8" t="inlineStr">
        <is>
          <t>Food</t>
        </is>
      </c>
      <c r="C20" s="8" t="inlineStr">
        <is>
          <t>Burgers and Taco</t>
        </is>
      </c>
      <c r="D20" s="8" t="inlineStr">
        <is>
          <t>ChiliCon Carne Burger</t>
        </is>
      </c>
      <c r="E20" s="8" t="inlineStr">
        <is>
          <t>with homemade fries</t>
        </is>
      </c>
      <c r="F20" s="9" t="n">
        <v>319</v>
      </c>
      <c r="G20" s="8" t="n"/>
    </row>
    <row r="21" ht="15" customHeight="1" s="6">
      <c r="A21" s="8" t="inlineStr">
        <is>
          <t>F020</t>
        </is>
      </c>
      <c r="B21" s="8" t="inlineStr">
        <is>
          <t>Food</t>
        </is>
      </c>
      <c r="C21" s="8" t="inlineStr">
        <is>
          <t>Burgers and Taco</t>
        </is>
      </c>
      <c r="D21" s="8" t="inlineStr">
        <is>
          <t>Chicken Taco</t>
        </is>
      </c>
      <c r="E21" s="8" t="n"/>
      <c r="F21" s="9" t="n">
        <v>249</v>
      </c>
      <c r="G21" s="8" t="n"/>
    </row>
    <row r="22" ht="15" customHeight="1" s="6">
      <c r="A22" s="8" t="inlineStr">
        <is>
          <t>F021</t>
        </is>
      </c>
      <c r="B22" s="8" t="inlineStr">
        <is>
          <t>Food</t>
        </is>
      </c>
      <c r="C22" s="8" t="inlineStr">
        <is>
          <t>Fries and Chips</t>
        </is>
      </c>
      <c r="D22" s="8" t="inlineStr">
        <is>
          <t>Homemade Fries</t>
        </is>
      </c>
      <c r="E22" s="8" t="n"/>
      <c r="F22" s="9" t="n">
        <v>170</v>
      </c>
      <c r="G22" s="8" t="n"/>
    </row>
    <row r="23" ht="15" customHeight="1" s="6">
      <c r="A23" s="8" t="inlineStr">
        <is>
          <t>F022</t>
        </is>
      </c>
      <c r="B23" s="8" t="inlineStr">
        <is>
          <t>Food</t>
        </is>
      </c>
      <c r="C23" s="8" t="inlineStr">
        <is>
          <t>Fries and Chips</t>
        </is>
      </c>
      <c r="D23" s="8" t="inlineStr">
        <is>
          <t>Nachos</t>
        </is>
      </c>
      <c r="E23" s="8" t="n"/>
      <c r="F23" s="9" t="n">
        <v>220</v>
      </c>
      <c r="G23" s="8" t="n"/>
    </row>
    <row r="24" ht="15" customHeight="1" s="6">
      <c r="A24" s="8" t="inlineStr">
        <is>
          <t>F023</t>
        </is>
      </c>
      <c r="B24" s="8" t="inlineStr">
        <is>
          <t>Food</t>
        </is>
      </c>
      <c r="C24" s="8" t="inlineStr">
        <is>
          <t>Meals</t>
        </is>
      </c>
      <c r="D24" s="8" t="inlineStr">
        <is>
          <t>Quarter Cut Fried Chicken</t>
        </is>
      </c>
      <c r="E24" s="8" t="n"/>
      <c r="F24" s="9" t="n">
        <v>279</v>
      </c>
      <c r="G24" s="8" t="n"/>
    </row>
    <row r="25" ht="15" customHeight="1" s="6">
      <c r="A25" s="8" t="inlineStr">
        <is>
          <t>F024</t>
        </is>
      </c>
      <c r="B25" s="8" t="inlineStr">
        <is>
          <t>Food</t>
        </is>
      </c>
      <c r="C25" s="8" t="inlineStr">
        <is>
          <t>Meals</t>
        </is>
      </c>
      <c r="D25" s="8" t="inlineStr">
        <is>
          <t>Classic Garlic Parmesan Chicken</t>
        </is>
      </c>
      <c r="E25" s="8" t="n"/>
      <c r="F25" s="9" t="n">
        <v>329</v>
      </c>
      <c r="G25" s="8" t="n"/>
    </row>
    <row r="26" ht="15" customHeight="1" s="6">
      <c r="A26" s="8" t="inlineStr">
        <is>
          <t>F025</t>
        </is>
      </c>
      <c r="B26" s="8" t="inlineStr">
        <is>
          <t>Food</t>
        </is>
      </c>
      <c r="C26" s="8" t="inlineStr">
        <is>
          <t>Meals</t>
        </is>
      </c>
      <c r="D26" s="8" t="inlineStr">
        <is>
          <t>Chicken Buffalo</t>
        </is>
      </c>
      <c r="E26" s="8" t="n"/>
      <c r="F26" s="9" t="n">
        <v>329</v>
      </c>
      <c r="G26" s="8" t="n"/>
    </row>
    <row r="27" ht="15" customHeight="1" s="6">
      <c r="A27" s="8" t="inlineStr">
        <is>
          <t>F026</t>
        </is>
      </c>
      <c r="B27" s="8" t="inlineStr">
        <is>
          <t>Food</t>
        </is>
      </c>
      <c r="C27" s="8" t="inlineStr">
        <is>
          <t>Meals</t>
        </is>
      </c>
      <c r="D27" s="8" t="inlineStr">
        <is>
          <t>Pork Steak</t>
        </is>
      </c>
      <c r="E27" s="8" t="n"/>
      <c r="F27" s="9" t="n">
        <v>320</v>
      </c>
      <c r="G27" s="8" t="n"/>
    </row>
    <row r="28" ht="15" customHeight="1" s="6">
      <c r="A28" s="8" t="inlineStr">
        <is>
          <t>F027</t>
        </is>
      </c>
      <c r="B28" s="8" t="inlineStr">
        <is>
          <t>Food</t>
        </is>
      </c>
      <c r="C28" s="8" t="inlineStr">
        <is>
          <t>Meals</t>
        </is>
      </c>
      <c r="D28" s="8" t="inlineStr">
        <is>
          <t>Old Fashioned Braised Beef</t>
        </is>
      </c>
      <c r="E28" s="8" t="n"/>
      <c r="F28" s="9" t="n">
        <v>390</v>
      </c>
      <c r="G28" s="8" t="n"/>
    </row>
    <row r="29" ht="15" customHeight="1" s="6">
      <c r="A29" s="8" t="inlineStr">
        <is>
          <t>F028</t>
        </is>
      </c>
      <c r="B29" s="8" t="inlineStr">
        <is>
          <t>Food</t>
        </is>
      </c>
      <c r="C29" s="8" t="inlineStr">
        <is>
          <t>Meals</t>
        </is>
      </c>
      <c r="D29" s="8" t="inlineStr">
        <is>
          <t>Salisbury Steak</t>
        </is>
      </c>
      <c r="E29" s="8" t="n"/>
      <c r="F29" s="9" t="n">
        <v>350</v>
      </c>
      <c r="G29" s="8" t="n"/>
    </row>
    <row r="30" ht="15" customHeight="1" s="6">
      <c r="A30" s="8" t="inlineStr">
        <is>
          <t>F029</t>
        </is>
      </c>
      <c r="B30" s="8" t="inlineStr">
        <is>
          <t>Food</t>
        </is>
      </c>
      <c r="C30" s="8" t="inlineStr">
        <is>
          <t>Meals</t>
        </is>
      </c>
      <c r="D30" s="8" t="inlineStr">
        <is>
          <t>Honey Garlic Salmon Steak</t>
        </is>
      </c>
      <c r="E30" s="8" t="n"/>
      <c r="F30" s="9" t="n">
        <v>420</v>
      </c>
      <c r="G30" s="8" t="n"/>
    </row>
    <row r="31" ht="15" customHeight="1" s="6">
      <c r="A31" s="8" t="inlineStr">
        <is>
          <t>F030</t>
        </is>
      </c>
      <c r="B31" s="8" t="inlineStr">
        <is>
          <t>Food</t>
        </is>
      </c>
      <c r="C31" s="8" t="inlineStr">
        <is>
          <t>Meals</t>
        </is>
      </c>
      <c r="D31" s="8" t="inlineStr">
        <is>
          <t>Coconut Curry Salmon</t>
        </is>
      </c>
      <c r="E31" s="8" t="n"/>
      <c r="F31" s="9" t="n">
        <v>420</v>
      </c>
      <c r="G31" s="8" t="n"/>
    </row>
    <row r="32" ht="15" customHeight="1" s="6">
      <c r="A32" s="8" t="inlineStr">
        <is>
          <t>F031</t>
        </is>
      </c>
      <c r="B32" s="8" t="inlineStr">
        <is>
          <t>Food</t>
        </is>
      </c>
      <c r="C32" s="8" t="inlineStr">
        <is>
          <t>Low and Slow Texas Style Smoked Barbecue</t>
        </is>
      </c>
      <c r="D32" s="8" t="inlineStr">
        <is>
          <t>Pork Belly</t>
        </is>
      </c>
      <c r="E32" s="8" t="n"/>
      <c r="F32" s="9" t="n">
        <v>450</v>
      </c>
      <c r="G32" s="8" t="n"/>
    </row>
    <row r="33" ht="15" customHeight="1" s="6">
      <c r="A33" s="8" t="inlineStr">
        <is>
          <t>F032</t>
        </is>
      </c>
      <c r="B33" s="8" t="inlineStr">
        <is>
          <t>Food</t>
        </is>
      </c>
      <c r="C33" s="8" t="inlineStr">
        <is>
          <t>Low and Slow Texas Style Smoked Barbecue</t>
        </is>
      </c>
      <c r="D33" s="8" t="inlineStr">
        <is>
          <t>Beef Belly</t>
        </is>
      </c>
      <c r="E33" s="8" t="n"/>
      <c r="F33" s="9" t="n">
        <v>450</v>
      </c>
      <c r="G33" s="8" t="n"/>
    </row>
    <row r="34" ht="15" customHeight="1" s="6">
      <c r="A34" s="8" t="inlineStr">
        <is>
          <t>F033</t>
        </is>
      </c>
      <c r="B34" s="8" t="inlineStr">
        <is>
          <t>Food</t>
        </is>
      </c>
      <c r="C34" s="8" t="inlineStr">
        <is>
          <t>Low and Slow Texas Style Smoked Barbecue</t>
        </is>
      </c>
      <c r="D34" s="8" t="inlineStr">
        <is>
          <t>Pork Ribs</t>
        </is>
      </c>
      <c r="E34" s="8" t="n"/>
      <c r="F34" s="9" t="n">
        <v>430</v>
      </c>
      <c r="G34" s="8" t="n"/>
    </row>
    <row r="35" ht="15" customHeight="1" s="6">
      <c r="A35" s="8" t="inlineStr">
        <is>
          <t>F034</t>
        </is>
      </c>
      <c r="B35" s="8" t="inlineStr">
        <is>
          <t>Food</t>
        </is>
      </c>
      <c r="C35" s="8" t="inlineStr">
        <is>
          <t>Low and Slow Texas Style Smoked Barbecue</t>
        </is>
      </c>
      <c r="D35" s="8" t="inlineStr">
        <is>
          <t>Beef Brisket</t>
        </is>
      </c>
      <c r="E35" s="8" t="n"/>
      <c r="F35" s="9" t="n">
        <v>550</v>
      </c>
      <c r="G35" s="8" t="n"/>
    </row>
    <row r="36" ht="15" customHeight="1" s="6">
      <c r="A36" s="8" t="inlineStr">
        <is>
          <t>F035</t>
        </is>
      </c>
      <c r="B36" s="8" t="inlineStr">
        <is>
          <t>Food</t>
        </is>
      </c>
      <c r="C36" s="8" t="inlineStr">
        <is>
          <t>Low and Slow Texas Style Smoked Barbecue</t>
        </is>
      </c>
      <c r="D36" s="8" t="inlineStr">
        <is>
          <t>Whole Slab Pork Ribs</t>
        </is>
      </c>
      <c r="E36" s="8" t="n"/>
      <c r="F36" s="9" t="n">
        <v>1020</v>
      </c>
      <c r="G36" s="8" t="inlineStr">
        <is>
          <t>Menu image 1 shows 1,150; menu image 6/7 show 950 (most recent capture, May 2026) - using 950</t>
        </is>
      </c>
    </row>
    <row r="37" ht="15" customHeight="1" s="6">
      <c r="A37" s="8" t="inlineStr">
        <is>
          <t>F036</t>
        </is>
      </c>
      <c r="B37" s="8" t="inlineStr">
        <is>
          <t>Food</t>
        </is>
      </c>
      <c r="C37" s="8" t="inlineStr">
        <is>
          <t>For Sharing</t>
        </is>
      </c>
      <c r="D37" s="8" t="inlineStr">
        <is>
          <t>Pork Sinigang</t>
        </is>
      </c>
      <c r="E37" s="8" t="n"/>
      <c r="F37" s="9" t="n">
        <v>450</v>
      </c>
      <c r="G37" s="8" t="n"/>
    </row>
    <row r="38" ht="15" customHeight="1" s="6">
      <c r="A38" s="8" t="inlineStr">
        <is>
          <t>F037</t>
        </is>
      </c>
      <c r="B38" s="8" t="inlineStr">
        <is>
          <t>Food</t>
        </is>
      </c>
      <c r="C38" s="8" t="inlineStr">
        <is>
          <t>For Sharing</t>
        </is>
      </c>
      <c r="D38" s="8" t="inlineStr">
        <is>
          <t>Crispy Pork Kare-Kare</t>
        </is>
      </c>
      <c r="E38" s="8" t="n"/>
      <c r="F38" s="9" t="n">
        <v>570</v>
      </c>
      <c r="G38" s="8" t="n"/>
    </row>
    <row r="39" ht="15" customHeight="1" s="6">
      <c r="A39" s="8" t="inlineStr">
        <is>
          <t>F038</t>
        </is>
      </c>
      <c r="B39" s="8" t="inlineStr">
        <is>
          <t>Food</t>
        </is>
      </c>
      <c r="C39" s="8" t="inlineStr">
        <is>
          <t>For Sharing</t>
        </is>
      </c>
      <c r="D39" s="8" t="inlineStr">
        <is>
          <t>Beef Salpicao</t>
        </is>
      </c>
      <c r="E39" s="8" t="n"/>
      <c r="F39" s="9" t="n">
        <v>460</v>
      </c>
      <c r="G39" s="8" t="n"/>
    </row>
    <row r="40" ht="15" customHeight="1" s="6">
      <c r="A40" s="8" t="inlineStr">
        <is>
          <t>F039</t>
        </is>
      </c>
      <c r="B40" s="8" t="inlineStr">
        <is>
          <t>Food</t>
        </is>
      </c>
      <c r="C40" s="8" t="inlineStr">
        <is>
          <t>For Sharing</t>
        </is>
      </c>
      <c r="D40" s="8" t="inlineStr">
        <is>
          <t>Gambas Al Ajillo</t>
        </is>
      </c>
      <c r="E40" s="8" t="n"/>
      <c r="F40" s="9" t="n">
        <v>430</v>
      </c>
      <c r="G40" s="8" t="n"/>
    </row>
    <row r="41" ht="15" customHeight="1" s="6">
      <c r="A41" s="8" t="inlineStr">
        <is>
          <t>F040</t>
        </is>
      </c>
      <c r="B41" s="8" t="inlineStr">
        <is>
          <t>Food</t>
        </is>
      </c>
      <c r="C41" s="8" t="inlineStr">
        <is>
          <t>For Sharing</t>
        </is>
      </c>
      <c r="D41" s="8" t="inlineStr">
        <is>
          <t>Stir-Fry Vegetables</t>
        </is>
      </c>
      <c r="E41" s="8" t="n"/>
      <c r="F41" s="9" t="n">
        <v>410</v>
      </c>
      <c r="G41" s="8" t="n"/>
    </row>
    <row r="42" ht="15" customHeight="1" s="6">
      <c r="A42" s="8" t="inlineStr">
        <is>
          <t>F041</t>
        </is>
      </c>
      <c r="B42" s="8" t="inlineStr">
        <is>
          <t>Food</t>
        </is>
      </c>
      <c r="C42" s="8" t="inlineStr">
        <is>
          <t>For Sharing</t>
        </is>
      </c>
      <c r="D42" s="8" t="inlineStr">
        <is>
          <t>Pancit Guisado</t>
        </is>
      </c>
      <c r="E42" s="8" t="n"/>
      <c r="F42" s="9" t="n">
        <v>380</v>
      </c>
      <c r="G42" s="8" t="n"/>
    </row>
    <row r="43" ht="15" customHeight="1" s="6">
      <c r="A43" s="8" t="inlineStr">
        <is>
          <t>F042</t>
        </is>
      </c>
      <c r="B43" s="8" t="inlineStr">
        <is>
          <t>Food</t>
        </is>
      </c>
      <c r="C43" s="8" t="inlineStr">
        <is>
          <t>Cakes</t>
        </is>
      </c>
      <c r="D43" s="8" t="inlineStr">
        <is>
          <t>Classic Burnt Cheesecake</t>
        </is>
      </c>
      <c r="E43" s="8" t="n"/>
      <c r="F43" s="9" t="n">
        <v>140</v>
      </c>
      <c r="G43" s="8" t="n"/>
    </row>
    <row r="44" ht="15" customHeight="1" s="6">
      <c r="A44" s="8" t="inlineStr">
        <is>
          <t>F043</t>
        </is>
      </c>
      <c r="B44" s="8" t="inlineStr">
        <is>
          <t>Food</t>
        </is>
      </c>
      <c r="C44" s="8" t="inlineStr">
        <is>
          <t>Cakes</t>
        </is>
      </c>
      <c r="D44" s="8" t="inlineStr">
        <is>
          <t>Red Velvet Cake</t>
        </is>
      </c>
      <c r="E44" s="8" t="n"/>
      <c r="F44" s="9" t="n">
        <v>170</v>
      </c>
      <c r="G44" s="8" t="n"/>
    </row>
    <row r="45" ht="15" customHeight="1" s="6">
      <c r="A45" s="8" t="inlineStr">
        <is>
          <t>F044</t>
        </is>
      </c>
      <c r="B45" s="8" t="inlineStr">
        <is>
          <t>Food</t>
        </is>
      </c>
      <c r="C45" s="8" t="inlineStr">
        <is>
          <t>Cakes</t>
        </is>
      </c>
      <c r="D45" s="8" t="inlineStr">
        <is>
          <t>Chocolate Tablea Cake</t>
        </is>
      </c>
      <c r="E45" s="8" t="n"/>
      <c r="F45" s="9" t="n">
        <v>170</v>
      </c>
      <c r="G45" s="8" t="n"/>
    </row>
    <row r="46" ht="15" customHeight="1" s="6">
      <c r="A46" s="8" t="inlineStr">
        <is>
          <t>F045</t>
        </is>
      </c>
      <c r="B46" s="8" t="inlineStr">
        <is>
          <t>Food</t>
        </is>
      </c>
      <c r="C46" s="8" t="inlineStr">
        <is>
          <t>Cakes</t>
        </is>
      </c>
      <c r="D46" s="8" t="inlineStr">
        <is>
          <t>Carrot Cake</t>
        </is>
      </c>
      <c r="E46" s="8" t="n"/>
      <c r="F46" s="9" t="n">
        <v>180</v>
      </c>
      <c r="G46" s="8" t="n"/>
    </row>
    <row r="47" ht="15" customHeight="1" s="6">
      <c r="A47" s="8" t="inlineStr">
        <is>
          <t>D001</t>
        </is>
      </c>
      <c r="B47" s="8" t="inlineStr">
        <is>
          <t>Drinks</t>
        </is>
      </c>
      <c r="C47" s="8" t="inlineStr">
        <is>
          <t>Coffee</t>
        </is>
      </c>
      <c r="D47" s="8" t="inlineStr">
        <is>
          <t>Americano</t>
        </is>
      </c>
      <c r="E47" s="8" t="inlineStr">
        <is>
          <t>Hot</t>
        </is>
      </c>
      <c r="F47" s="9" t="n">
        <v>120</v>
      </c>
      <c r="G47" s="8" t="n"/>
    </row>
    <row r="48" ht="15" customHeight="1" s="6">
      <c r="A48" s="8" t="inlineStr">
        <is>
          <t>D002</t>
        </is>
      </c>
      <c r="B48" s="8" t="inlineStr">
        <is>
          <t>Drinks</t>
        </is>
      </c>
      <c r="C48" s="8" t="inlineStr">
        <is>
          <t>Coffee</t>
        </is>
      </c>
      <c r="D48" s="8" t="inlineStr">
        <is>
          <t>Americano</t>
        </is>
      </c>
      <c r="E48" s="8" t="inlineStr">
        <is>
          <t>Iced</t>
        </is>
      </c>
      <c r="F48" s="9" t="n">
        <v>120</v>
      </c>
      <c r="G48" s="8" t="n"/>
    </row>
    <row r="49" ht="15" customHeight="1" s="6">
      <c r="A49" s="8" t="inlineStr">
        <is>
          <t>D003</t>
        </is>
      </c>
      <c r="B49" s="8" t="inlineStr">
        <is>
          <t>Drinks</t>
        </is>
      </c>
      <c r="C49" s="8" t="inlineStr">
        <is>
          <t>Coffee</t>
        </is>
      </c>
      <c r="D49" s="8" t="inlineStr">
        <is>
          <t>Cafe Latte</t>
        </is>
      </c>
      <c r="E49" s="8" t="inlineStr">
        <is>
          <t>Hot</t>
        </is>
      </c>
      <c r="F49" s="9" t="n">
        <v>140</v>
      </c>
      <c r="G49" s="8" t="n"/>
    </row>
    <row r="50" ht="15" customHeight="1" s="6">
      <c r="A50" s="8" t="inlineStr">
        <is>
          <t>D004</t>
        </is>
      </c>
      <c r="B50" s="8" t="inlineStr">
        <is>
          <t>Drinks</t>
        </is>
      </c>
      <c r="C50" s="8" t="inlineStr">
        <is>
          <t>Coffee</t>
        </is>
      </c>
      <c r="D50" s="8" t="inlineStr">
        <is>
          <t>Cafe Latte</t>
        </is>
      </c>
      <c r="E50" s="8" t="inlineStr">
        <is>
          <t>Iced</t>
        </is>
      </c>
      <c r="F50" s="9" t="n">
        <v>140</v>
      </c>
      <c r="G50" s="8" t="n"/>
    </row>
    <row r="51" ht="15" customHeight="1" s="6">
      <c r="A51" s="8" t="inlineStr">
        <is>
          <t>D005</t>
        </is>
      </c>
      <c r="B51" s="8" t="inlineStr">
        <is>
          <t>Drinks</t>
        </is>
      </c>
      <c r="C51" s="8" t="inlineStr">
        <is>
          <t>Coffee</t>
        </is>
      </c>
      <c r="D51" s="8" t="inlineStr">
        <is>
          <t>Cappuccino</t>
        </is>
      </c>
      <c r="E51" s="8" t="inlineStr">
        <is>
          <t>Hot</t>
        </is>
      </c>
      <c r="F51" s="9" t="n">
        <v>140</v>
      </c>
      <c r="G51" s="8" t="n"/>
    </row>
    <row r="52" ht="15" customHeight="1" s="6">
      <c r="A52" s="8" t="inlineStr">
        <is>
          <t>D006</t>
        </is>
      </c>
      <c r="B52" s="8" t="inlineStr">
        <is>
          <t>Drinks</t>
        </is>
      </c>
      <c r="C52" s="8" t="inlineStr">
        <is>
          <t>Coffee</t>
        </is>
      </c>
      <c r="D52" s="8" t="inlineStr">
        <is>
          <t>Cappuccino</t>
        </is>
      </c>
      <c r="E52" s="8" t="inlineStr">
        <is>
          <t>Iced</t>
        </is>
      </c>
      <c r="F52" s="9" t="n">
        <v>140</v>
      </c>
      <c r="G52" s="8" t="n"/>
    </row>
    <row r="53" ht="15" customHeight="1" s="6">
      <c r="A53" s="8" t="inlineStr">
        <is>
          <t>D007</t>
        </is>
      </c>
      <c r="B53" s="8" t="inlineStr">
        <is>
          <t>Drinks</t>
        </is>
      </c>
      <c r="C53" s="8" t="inlineStr">
        <is>
          <t>Coffee</t>
        </is>
      </c>
      <c r="D53" s="8" t="inlineStr">
        <is>
          <t>Cafe Mocha</t>
        </is>
      </c>
      <c r="E53" s="8" t="inlineStr">
        <is>
          <t>Hot</t>
        </is>
      </c>
      <c r="F53" s="9" t="n">
        <v>155</v>
      </c>
      <c r="G53" s="8" t="n"/>
    </row>
    <row r="54" ht="15" customHeight="1" s="6">
      <c r="A54" s="8" t="inlineStr">
        <is>
          <t>D008</t>
        </is>
      </c>
      <c r="B54" s="8" t="inlineStr">
        <is>
          <t>Drinks</t>
        </is>
      </c>
      <c r="C54" s="8" t="inlineStr">
        <is>
          <t>Coffee</t>
        </is>
      </c>
      <c r="D54" s="8" t="inlineStr">
        <is>
          <t>Cafe Mocha</t>
        </is>
      </c>
      <c r="E54" s="8" t="inlineStr">
        <is>
          <t>Iced</t>
        </is>
      </c>
      <c r="F54" s="9" t="n">
        <v>160</v>
      </c>
      <c r="G54" s="8" t="n"/>
    </row>
    <row r="55" ht="15" customHeight="1" s="6">
      <c r="A55" s="8" t="inlineStr">
        <is>
          <t>D009</t>
        </is>
      </c>
      <c r="B55" s="8" t="inlineStr">
        <is>
          <t>Drinks</t>
        </is>
      </c>
      <c r="C55" s="8" t="inlineStr">
        <is>
          <t>Coffee</t>
        </is>
      </c>
      <c r="D55" s="8" t="inlineStr">
        <is>
          <t>Hazelnut</t>
        </is>
      </c>
      <c r="E55" s="8" t="inlineStr">
        <is>
          <t>Hot</t>
        </is>
      </c>
      <c r="F55" s="9" t="n">
        <v>155</v>
      </c>
      <c r="G55" s="8" t="n"/>
    </row>
    <row r="56" ht="15" customHeight="1" s="6">
      <c r="A56" s="8" t="inlineStr">
        <is>
          <t>D010</t>
        </is>
      </c>
      <c r="B56" s="8" t="inlineStr">
        <is>
          <t>Drinks</t>
        </is>
      </c>
      <c r="C56" s="8" t="inlineStr">
        <is>
          <t>Coffee</t>
        </is>
      </c>
      <c r="D56" s="8" t="inlineStr">
        <is>
          <t>Hazelnut</t>
        </is>
      </c>
      <c r="E56" s="8" t="inlineStr">
        <is>
          <t>Iced</t>
        </is>
      </c>
      <c r="F56" s="9" t="n">
        <v>160</v>
      </c>
      <c r="G56" s="8" t="n"/>
    </row>
    <row r="57" ht="15" customHeight="1" s="6">
      <c r="A57" s="8" t="inlineStr">
        <is>
          <t>D011</t>
        </is>
      </c>
      <c r="B57" s="8" t="inlineStr">
        <is>
          <t>Drinks</t>
        </is>
      </c>
      <c r="C57" s="8" t="inlineStr">
        <is>
          <t>Coffee</t>
        </is>
      </c>
      <c r="D57" s="8" t="inlineStr">
        <is>
          <t>White Choco</t>
        </is>
      </c>
      <c r="E57" s="8" t="inlineStr">
        <is>
          <t>Hot</t>
        </is>
      </c>
      <c r="F57" s="9" t="n">
        <v>155</v>
      </c>
      <c r="G57" s="8" t="n"/>
    </row>
    <row r="58" ht="15" customHeight="1" s="6">
      <c r="A58" s="8" t="inlineStr">
        <is>
          <t>D012</t>
        </is>
      </c>
      <c r="B58" s="8" t="inlineStr">
        <is>
          <t>Drinks</t>
        </is>
      </c>
      <c r="C58" s="8" t="inlineStr">
        <is>
          <t>Coffee</t>
        </is>
      </c>
      <c r="D58" s="8" t="inlineStr">
        <is>
          <t>White Choco</t>
        </is>
      </c>
      <c r="E58" s="8" t="inlineStr">
        <is>
          <t>Iced</t>
        </is>
      </c>
      <c r="F58" s="9" t="n">
        <v>170</v>
      </c>
      <c r="G58" s="8" t="n"/>
    </row>
    <row r="59" ht="15" customHeight="1" s="6">
      <c r="A59" s="8" t="inlineStr">
        <is>
          <t>D013</t>
        </is>
      </c>
      <c r="B59" s="8" t="inlineStr">
        <is>
          <t>Drinks</t>
        </is>
      </c>
      <c r="C59" s="8" t="inlineStr">
        <is>
          <t>Coffee</t>
        </is>
      </c>
      <c r="D59" s="8" t="inlineStr">
        <is>
          <t>Spanish Latte</t>
        </is>
      </c>
      <c r="E59" s="8" t="inlineStr">
        <is>
          <t>Hot</t>
        </is>
      </c>
      <c r="F59" s="9" t="n">
        <v>140</v>
      </c>
      <c r="G59" s="8" t="n"/>
    </row>
    <row r="60" ht="15" customHeight="1" s="6">
      <c r="A60" s="8" t="inlineStr">
        <is>
          <t>D014</t>
        </is>
      </c>
      <c r="B60" s="8" t="inlineStr">
        <is>
          <t>Drinks</t>
        </is>
      </c>
      <c r="C60" s="8" t="inlineStr">
        <is>
          <t>Coffee</t>
        </is>
      </c>
      <c r="D60" s="8" t="inlineStr">
        <is>
          <t>Spanish Latte</t>
        </is>
      </c>
      <c r="E60" s="8" t="inlineStr">
        <is>
          <t>Iced</t>
        </is>
      </c>
      <c r="F60" s="9" t="n">
        <v>160</v>
      </c>
      <c r="G60" s="8" t="n"/>
    </row>
    <row r="61" ht="15" customHeight="1" s="6">
      <c r="A61" s="8" t="inlineStr">
        <is>
          <t>D015</t>
        </is>
      </c>
      <c r="B61" s="8" t="inlineStr">
        <is>
          <t>Drinks</t>
        </is>
      </c>
      <c r="C61" s="8" t="inlineStr">
        <is>
          <t>Coffee</t>
        </is>
      </c>
      <c r="D61" s="8" t="inlineStr">
        <is>
          <t>Caramel</t>
        </is>
      </c>
      <c r="E61" s="8" t="inlineStr">
        <is>
          <t>Hot</t>
        </is>
      </c>
      <c r="F61" s="9" t="n">
        <v>155</v>
      </c>
      <c r="G61" s="8" t="n"/>
    </row>
    <row r="62" ht="15" customHeight="1" s="6">
      <c r="A62" s="8" t="inlineStr">
        <is>
          <t>D016</t>
        </is>
      </c>
      <c r="B62" s="8" t="inlineStr">
        <is>
          <t>Drinks</t>
        </is>
      </c>
      <c r="C62" s="8" t="inlineStr">
        <is>
          <t>Coffee</t>
        </is>
      </c>
      <c r="D62" s="8" t="inlineStr">
        <is>
          <t>Caramel</t>
        </is>
      </c>
      <c r="E62" s="8" t="inlineStr">
        <is>
          <t>Iced</t>
        </is>
      </c>
      <c r="F62" s="9" t="n">
        <v>160</v>
      </c>
      <c r="G62" s="8" t="n"/>
    </row>
    <row r="63" ht="15" customHeight="1" s="6">
      <c r="A63" s="8" t="inlineStr">
        <is>
          <t>D017</t>
        </is>
      </c>
      <c r="B63" s="8" t="inlineStr">
        <is>
          <t>Drinks</t>
        </is>
      </c>
      <c r="C63" s="8" t="inlineStr">
        <is>
          <t>Coffee</t>
        </is>
      </c>
      <c r="D63" s="8" t="inlineStr">
        <is>
          <t>Salted Caramel</t>
        </is>
      </c>
      <c r="E63" s="8" t="inlineStr">
        <is>
          <t>Hot</t>
        </is>
      </c>
      <c r="F63" s="9" t="n">
        <v>155</v>
      </c>
      <c r="G63" s="8" t="n"/>
    </row>
    <row r="64" ht="15" customHeight="1" s="6">
      <c r="A64" s="8" t="inlineStr">
        <is>
          <t>D018</t>
        </is>
      </c>
      <c r="B64" s="8" t="inlineStr">
        <is>
          <t>Drinks</t>
        </is>
      </c>
      <c r="C64" s="8" t="inlineStr">
        <is>
          <t>Coffee</t>
        </is>
      </c>
      <c r="D64" s="8" t="inlineStr">
        <is>
          <t>Salted Caramel</t>
        </is>
      </c>
      <c r="E64" s="8" t="inlineStr">
        <is>
          <t>Iced</t>
        </is>
      </c>
      <c r="F64" s="9" t="n">
        <v>170</v>
      </c>
      <c r="G64" s="8" t="n"/>
    </row>
    <row r="65" ht="15" customHeight="1" s="6">
      <c r="A65" s="8" t="inlineStr">
        <is>
          <t>D019</t>
        </is>
      </c>
      <c r="B65" s="8" t="inlineStr">
        <is>
          <t>Drinks</t>
        </is>
      </c>
      <c r="C65" s="8" t="inlineStr">
        <is>
          <t>Coffee</t>
        </is>
      </c>
      <c r="D65" s="8" t="inlineStr">
        <is>
          <t>Choco Caramel</t>
        </is>
      </c>
      <c r="E65" s="8" t="inlineStr">
        <is>
          <t>Hot</t>
        </is>
      </c>
      <c r="F65" s="9" t="n">
        <v>155</v>
      </c>
      <c r="G65" s="8" t="n"/>
    </row>
    <row r="66" ht="15" customHeight="1" s="6">
      <c r="A66" s="8" t="inlineStr">
        <is>
          <t>D020</t>
        </is>
      </c>
      <c r="B66" s="8" t="inlineStr">
        <is>
          <t>Drinks</t>
        </is>
      </c>
      <c r="C66" s="8" t="inlineStr">
        <is>
          <t>Coffee</t>
        </is>
      </c>
      <c r="D66" s="8" t="inlineStr">
        <is>
          <t>Choco Caramel</t>
        </is>
      </c>
      <c r="E66" s="8" t="inlineStr">
        <is>
          <t>Iced</t>
        </is>
      </c>
      <c r="F66" s="9" t="n">
        <v>195</v>
      </c>
      <c r="G66" s="8" t="n"/>
    </row>
    <row r="67" ht="15" customHeight="1" s="6">
      <c r="A67" s="8" t="inlineStr">
        <is>
          <t>D021</t>
        </is>
      </c>
      <c r="B67" s="8" t="inlineStr">
        <is>
          <t>Drinks</t>
        </is>
      </c>
      <c r="C67" s="8" t="inlineStr">
        <is>
          <t>Non-Coffee</t>
        </is>
      </c>
      <c r="D67" s="8" t="inlineStr">
        <is>
          <t>Chocolate</t>
        </is>
      </c>
      <c r="E67" s="8" t="inlineStr">
        <is>
          <t>Hot</t>
        </is>
      </c>
      <c r="F67" s="9" t="n">
        <v>0</v>
      </c>
      <c r="G67" s="8" t="n"/>
    </row>
    <row r="68" ht="15" customHeight="1" s="6">
      <c r="A68" s="8" t="inlineStr">
        <is>
          <t>D022</t>
        </is>
      </c>
      <c r="B68" s="8" t="inlineStr">
        <is>
          <t>Drinks</t>
        </is>
      </c>
      <c r="C68" s="8" t="inlineStr">
        <is>
          <t>Non-Coffee</t>
        </is>
      </c>
      <c r="D68" s="8" t="inlineStr">
        <is>
          <t>Chocolate</t>
        </is>
      </c>
      <c r="E68" s="8" t="inlineStr">
        <is>
          <t>Iced</t>
        </is>
      </c>
      <c r="F68" s="9" t="n">
        <v>0</v>
      </c>
      <c r="G68" s="8" t="n"/>
    </row>
    <row r="69" ht="15" customHeight="1" s="6">
      <c r="A69" s="8" t="inlineStr">
        <is>
          <t>D023</t>
        </is>
      </c>
      <c r="B69" s="8" t="inlineStr">
        <is>
          <t>Drinks</t>
        </is>
      </c>
      <c r="C69" s="8" t="inlineStr">
        <is>
          <t>Non-Coffee</t>
        </is>
      </c>
      <c r="D69" s="8" t="inlineStr">
        <is>
          <t>Matcha Latte</t>
        </is>
      </c>
      <c r="E69" s="8" t="inlineStr">
        <is>
          <t>Hot</t>
        </is>
      </c>
      <c r="F69" s="9" t="n">
        <v>200</v>
      </c>
      <c r="G69" s="8" t="n"/>
    </row>
    <row r="70" ht="15" customHeight="1" s="6">
      <c r="A70" s="8" t="inlineStr">
        <is>
          <t>D024</t>
        </is>
      </c>
      <c r="B70" s="8" t="inlineStr">
        <is>
          <t>Drinks</t>
        </is>
      </c>
      <c r="C70" s="8" t="inlineStr">
        <is>
          <t>Non-Coffee</t>
        </is>
      </c>
      <c r="D70" s="8" t="inlineStr">
        <is>
          <t>Matcha Latte</t>
        </is>
      </c>
      <c r="E70" s="8" t="inlineStr">
        <is>
          <t>Iced</t>
        </is>
      </c>
      <c r="F70" s="9" t="n">
        <v>240</v>
      </c>
      <c r="G70" s="8" t="n"/>
    </row>
    <row r="71" ht="15" customHeight="1" s="6">
      <c r="A71" s="8" t="inlineStr">
        <is>
          <t>D025</t>
        </is>
      </c>
      <c r="B71" s="8" t="inlineStr">
        <is>
          <t>Drinks</t>
        </is>
      </c>
      <c r="C71" s="8" t="inlineStr">
        <is>
          <t>Non-Coffee</t>
        </is>
      </c>
      <c r="D71" s="8" t="inlineStr">
        <is>
          <t>Hojicha Latte</t>
        </is>
      </c>
      <c r="E71" s="8" t="inlineStr">
        <is>
          <t>Hot</t>
        </is>
      </c>
      <c r="F71" s="9" t="n">
        <v>200</v>
      </c>
      <c r="G71" s="8" t="n"/>
    </row>
    <row r="72" ht="15" customHeight="1" s="6">
      <c r="A72" s="8" t="inlineStr">
        <is>
          <t>D026</t>
        </is>
      </c>
      <c r="B72" s="8" t="inlineStr">
        <is>
          <t>Drinks</t>
        </is>
      </c>
      <c r="C72" s="8" t="inlineStr">
        <is>
          <t>Non-Coffee</t>
        </is>
      </c>
      <c r="D72" s="8" t="inlineStr">
        <is>
          <t>Hojicha Latte</t>
        </is>
      </c>
      <c r="E72" s="8" t="inlineStr">
        <is>
          <t>Iced</t>
        </is>
      </c>
      <c r="F72" s="9" t="n">
        <v>240</v>
      </c>
      <c r="G72" s="8" t="n"/>
    </row>
    <row r="73" ht="15" customHeight="1" s="6">
      <c r="A73" s="8" t="inlineStr">
        <is>
          <t>D027</t>
        </is>
      </c>
      <c r="B73" s="8" t="inlineStr">
        <is>
          <t>Drinks</t>
        </is>
      </c>
      <c r="C73" s="8" t="inlineStr">
        <is>
          <t>Frappes (espresso based)</t>
        </is>
      </c>
      <c r="D73" s="8" t="inlineStr">
        <is>
          <t>Coffee Crumble</t>
        </is>
      </c>
      <c r="E73" s="8" t="inlineStr">
        <is>
          <t>Iced</t>
        </is>
      </c>
      <c r="F73" s="9" t="n">
        <v>150</v>
      </c>
      <c r="G73" s="8" t="n"/>
    </row>
    <row r="74" ht="15" customHeight="1" s="6">
      <c r="A74" s="8" t="inlineStr">
        <is>
          <t>D028</t>
        </is>
      </c>
      <c r="B74" s="8" t="inlineStr">
        <is>
          <t>Drinks</t>
        </is>
      </c>
      <c r="C74" s="8" t="inlineStr">
        <is>
          <t>Frappes (espresso based)</t>
        </is>
      </c>
      <c r="D74" s="8" t="inlineStr">
        <is>
          <t>Caramel</t>
        </is>
      </c>
      <c r="E74" s="8" t="inlineStr">
        <is>
          <t>Iced</t>
        </is>
      </c>
      <c r="F74" s="9" t="n">
        <v>180</v>
      </c>
      <c r="G74" s="8" t="n"/>
    </row>
    <row r="75" ht="15" customHeight="1" s="6">
      <c r="A75" s="8" t="inlineStr">
        <is>
          <t>D029</t>
        </is>
      </c>
      <c r="B75" s="8" t="inlineStr">
        <is>
          <t>Drinks</t>
        </is>
      </c>
      <c r="C75" s="8" t="inlineStr">
        <is>
          <t>Frappes (espresso based)</t>
        </is>
      </c>
      <c r="D75" s="8" t="inlineStr">
        <is>
          <t>Salted Caramel</t>
        </is>
      </c>
      <c r="E75" s="8" t="inlineStr">
        <is>
          <t>Iced</t>
        </is>
      </c>
      <c r="F75" s="9" t="n">
        <v>190</v>
      </c>
      <c r="G75" s="8" t="n"/>
    </row>
    <row r="76" ht="15" customHeight="1" s="6">
      <c r="A76" s="8" t="inlineStr">
        <is>
          <t>D030</t>
        </is>
      </c>
      <c r="B76" s="8" t="inlineStr">
        <is>
          <t>Drinks</t>
        </is>
      </c>
      <c r="C76" s="8" t="inlineStr">
        <is>
          <t>Frappes (espresso based)</t>
        </is>
      </c>
      <c r="D76" s="8" t="inlineStr">
        <is>
          <t>Choco Caramel</t>
        </is>
      </c>
      <c r="E76" s="8" t="inlineStr">
        <is>
          <t>Iced</t>
        </is>
      </c>
      <c r="F76" s="9" t="n">
        <v>198</v>
      </c>
      <c r="G76" s="8" t="n"/>
    </row>
    <row r="77" ht="15" customHeight="1" s="6">
      <c r="A77" s="8" t="inlineStr">
        <is>
          <t>D031</t>
        </is>
      </c>
      <c r="B77" s="8" t="inlineStr">
        <is>
          <t>Drinks</t>
        </is>
      </c>
      <c r="C77" s="8" t="inlineStr">
        <is>
          <t>Frappes (espresso based)</t>
        </is>
      </c>
      <c r="D77" s="8" t="inlineStr">
        <is>
          <t>Hazelnut</t>
        </is>
      </c>
      <c r="E77" s="8" t="inlineStr">
        <is>
          <t>Iced</t>
        </is>
      </c>
      <c r="F77" s="9" t="n">
        <v>180</v>
      </c>
      <c r="G77" s="8" t="n"/>
    </row>
    <row r="78" ht="15" customHeight="1" s="6">
      <c r="A78" s="8" t="inlineStr">
        <is>
          <t>D032</t>
        </is>
      </c>
      <c r="B78" s="8" t="inlineStr">
        <is>
          <t>Drinks</t>
        </is>
      </c>
      <c r="C78" s="8" t="inlineStr">
        <is>
          <t>Frappes (espresso based)</t>
        </is>
      </c>
      <c r="D78" s="8" t="inlineStr">
        <is>
          <t>Java Chip</t>
        </is>
      </c>
      <c r="E78" s="8" t="inlineStr">
        <is>
          <t>Iced</t>
        </is>
      </c>
      <c r="F78" s="9" t="n">
        <v>180</v>
      </c>
      <c r="G78" s="8" t="n"/>
    </row>
    <row r="79" ht="15" customHeight="1" s="6">
      <c r="A79" s="8" t="inlineStr">
        <is>
          <t>D033</t>
        </is>
      </c>
      <c r="B79" s="8" t="inlineStr">
        <is>
          <t>Drinks</t>
        </is>
      </c>
      <c r="C79" s="8" t="inlineStr">
        <is>
          <t>Frappes (espresso based)</t>
        </is>
      </c>
      <c r="D79" s="8" t="inlineStr">
        <is>
          <t>Mocha</t>
        </is>
      </c>
      <c r="E79" s="8" t="inlineStr">
        <is>
          <t>Iced</t>
        </is>
      </c>
      <c r="F79" s="9" t="n">
        <v>190</v>
      </c>
      <c r="G79" s="8" t="n"/>
    </row>
    <row r="80" ht="15" customHeight="1" s="6">
      <c r="A80" s="8" t="inlineStr">
        <is>
          <t>D034</t>
        </is>
      </c>
      <c r="B80" s="8" t="inlineStr">
        <is>
          <t>Drinks</t>
        </is>
      </c>
      <c r="C80" s="8" t="inlineStr">
        <is>
          <t>Frappes (espresso based)</t>
        </is>
      </c>
      <c r="D80" s="8" t="inlineStr">
        <is>
          <t>White Choco</t>
        </is>
      </c>
      <c r="E80" s="8" t="inlineStr">
        <is>
          <t>Iced</t>
        </is>
      </c>
      <c r="F80" s="9" t="n">
        <v>190</v>
      </c>
      <c r="G80" s="8" t="n"/>
    </row>
    <row r="81" ht="15" customHeight="1" s="6">
      <c r="A81" s="8" t="inlineStr">
        <is>
          <t>D035</t>
        </is>
      </c>
      <c r="B81" s="8" t="inlineStr">
        <is>
          <t>Drinks</t>
        </is>
      </c>
      <c r="C81" s="8" t="inlineStr">
        <is>
          <t>Blends</t>
        </is>
      </c>
      <c r="D81" s="8" t="inlineStr">
        <is>
          <t>Choco</t>
        </is>
      </c>
      <c r="E81" s="8" t="inlineStr">
        <is>
          <t>Iced</t>
        </is>
      </c>
      <c r="F81" s="9" t="n">
        <v>170</v>
      </c>
      <c r="G81" s="8" t="n"/>
    </row>
    <row r="82" ht="15" customHeight="1" s="6">
      <c r="A82" s="8" t="inlineStr">
        <is>
          <t>D036</t>
        </is>
      </c>
      <c r="B82" s="8" t="inlineStr">
        <is>
          <t>Drinks</t>
        </is>
      </c>
      <c r="C82" s="8" t="inlineStr">
        <is>
          <t>Blends</t>
        </is>
      </c>
      <c r="D82" s="8" t="inlineStr">
        <is>
          <t>Cookies &amp; Cream</t>
        </is>
      </c>
      <c r="E82" s="8" t="inlineStr">
        <is>
          <t>Iced</t>
        </is>
      </c>
      <c r="F82" s="9" t="n">
        <v>165</v>
      </c>
      <c r="G82" s="8" t="n"/>
    </row>
    <row r="83" ht="15" customHeight="1" s="6">
      <c r="A83" s="8" t="inlineStr">
        <is>
          <t>D037</t>
        </is>
      </c>
      <c r="B83" s="8" t="inlineStr">
        <is>
          <t>Drinks</t>
        </is>
      </c>
      <c r="C83" s="8" t="inlineStr">
        <is>
          <t>Blends</t>
        </is>
      </c>
      <c r="D83" s="8" t="inlineStr">
        <is>
          <t>Matcha</t>
        </is>
      </c>
      <c r="E83" s="8" t="inlineStr">
        <is>
          <t>Iced</t>
        </is>
      </c>
      <c r="F83" s="9" t="n">
        <v>240</v>
      </c>
      <c r="G83" s="8" t="n"/>
    </row>
    <row r="84" ht="15" customHeight="1" s="6">
      <c r="A84" s="8" t="inlineStr">
        <is>
          <t>D038</t>
        </is>
      </c>
      <c r="B84" s="8" t="inlineStr">
        <is>
          <t>Drinks</t>
        </is>
      </c>
      <c r="C84" s="8" t="inlineStr">
        <is>
          <t>Blends</t>
        </is>
      </c>
      <c r="D84" s="8" t="inlineStr">
        <is>
          <t>Strawberry</t>
        </is>
      </c>
      <c r="E84" s="8" t="inlineStr">
        <is>
          <t>Iced</t>
        </is>
      </c>
      <c r="F84" s="9" t="n">
        <v>190</v>
      </c>
      <c r="G84" s="8" t="n"/>
    </row>
    <row r="85" ht="15" customHeight="1" s="6">
      <c r="A85" s="8" t="inlineStr">
        <is>
          <t>D039</t>
        </is>
      </c>
      <c r="B85" s="8" t="inlineStr">
        <is>
          <t>Drinks</t>
        </is>
      </c>
      <c r="C85" s="8" t="inlineStr">
        <is>
          <t>Milkshakes</t>
        </is>
      </c>
      <c r="D85" s="8" t="inlineStr">
        <is>
          <t>Banana Milkshake</t>
        </is>
      </c>
      <c r="E85" s="8" t="inlineStr">
        <is>
          <t>Iced</t>
        </is>
      </c>
      <c r="F85" s="9" t="n">
        <v>150</v>
      </c>
      <c r="G85" s="8" t="n"/>
    </row>
    <row r="86" ht="15" customHeight="1" s="6">
      <c r="A86" s="8" t="inlineStr">
        <is>
          <t>D040</t>
        </is>
      </c>
      <c r="B86" s="8" t="inlineStr">
        <is>
          <t>Drinks</t>
        </is>
      </c>
      <c r="C86" s="8" t="inlineStr">
        <is>
          <t>Milkshakes</t>
        </is>
      </c>
      <c r="D86" s="8" t="inlineStr">
        <is>
          <t>Green Mango Milkshake</t>
        </is>
      </c>
      <c r="E86" s="8" t="inlineStr">
        <is>
          <t>Iced</t>
        </is>
      </c>
      <c r="F86" s="9" t="n">
        <v>150</v>
      </c>
      <c r="G86" s="8" t="n"/>
    </row>
    <row r="87" ht="15" customHeight="1" s="6">
      <c r="A87" s="8" t="inlineStr">
        <is>
          <t>D041</t>
        </is>
      </c>
      <c r="B87" s="8" t="inlineStr">
        <is>
          <t>Drinks</t>
        </is>
      </c>
      <c r="C87" s="8" t="inlineStr">
        <is>
          <t>Milkshakes</t>
        </is>
      </c>
      <c r="D87" s="8" t="inlineStr">
        <is>
          <t>Mango Shake</t>
        </is>
      </c>
      <c r="E87" s="8" t="inlineStr">
        <is>
          <t>Iced</t>
        </is>
      </c>
      <c r="F87" s="9" t="n">
        <v>150</v>
      </c>
      <c r="G87" s="8" t="n"/>
    </row>
    <row r="88" ht="15" customHeight="1" s="6">
      <c r="A88" s="8" t="inlineStr">
        <is>
          <t>D042</t>
        </is>
      </c>
      <c r="B88" s="8" t="inlineStr">
        <is>
          <t>Drinks</t>
        </is>
      </c>
      <c r="C88" s="8" t="inlineStr">
        <is>
          <t>Milkshakes</t>
        </is>
      </c>
      <c r="D88" s="8" t="inlineStr">
        <is>
          <t>Mixed Berries Shake</t>
        </is>
      </c>
      <c r="E88" s="8" t="inlineStr">
        <is>
          <t>Iced</t>
        </is>
      </c>
      <c r="F88" s="9" t="n">
        <v>150</v>
      </c>
      <c r="G88" s="8" t="n"/>
    </row>
    <row r="89" ht="15" customHeight="1" s="6">
      <c r="A89" s="8" t="inlineStr">
        <is>
          <t>D043</t>
        </is>
      </c>
      <c r="B89" s="8" t="inlineStr">
        <is>
          <t>Drinks</t>
        </is>
      </c>
      <c r="C89" s="8" t="inlineStr">
        <is>
          <t>Refreshments</t>
        </is>
      </c>
      <c r="D89" s="8" t="inlineStr">
        <is>
          <t>Fizzy Watermelon Soda</t>
        </is>
      </c>
      <c r="E89" s="8" t="inlineStr">
        <is>
          <t>Iced</t>
        </is>
      </c>
      <c r="F89" s="9" t="n">
        <v>115</v>
      </c>
      <c r="G89" s="8" t="n"/>
    </row>
    <row r="90" ht="15" customHeight="1" s="6">
      <c r="A90" s="8" t="inlineStr">
        <is>
          <t>D044</t>
        </is>
      </c>
      <c r="B90" s="8" t="inlineStr">
        <is>
          <t>Drinks</t>
        </is>
      </c>
      <c r="C90" s="8" t="inlineStr">
        <is>
          <t>Refreshments</t>
        </is>
      </c>
      <c r="D90" s="8" t="inlineStr">
        <is>
          <t>Fizzy Lychee Soda</t>
        </is>
      </c>
      <c r="E90" s="8" t="inlineStr">
        <is>
          <t>Iced</t>
        </is>
      </c>
      <c r="F90" s="9" t="n">
        <v>115</v>
      </c>
      <c r="G90" s="8" t="n"/>
    </row>
    <row r="91" ht="15" customHeight="1" s="6">
      <c r="A91" s="8" t="inlineStr">
        <is>
          <t>D045</t>
        </is>
      </c>
      <c r="B91" s="8" t="inlineStr">
        <is>
          <t>Drinks</t>
        </is>
      </c>
      <c r="C91" s="8" t="inlineStr">
        <is>
          <t>Refreshments</t>
        </is>
      </c>
      <c r="D91" s="8" t="inlineStr">
        <is>
          <t>Green Apple Iced Tea</t>
        </is>
      </c>
      <c r="E91" s="8" t="inlineStr">
        <is>
          <t>Iced</t>
        </is>
      </c>
      <c r="F91" s="9" t="n">
        <v>150</v>
      </c>
      <c r="G91" s="8" t="n"/>
    </row>
    <row r="92" ht="15" customHeight="1" s="6">
      <c r="A92" s="8" t="inlineStr">
        <is>
          <t>D046</t>
        </is>
      </c>
      <c r="B92" s="8" t="inlineStr">
        <is>
          <t>Drinks</t>
        </is>
      </c>
      <c r="C92" s="8" t="inlineStr">
        <is>
          <t>Refreshments</t>
        </is>
      </c>
      <c r="D92" s="8" t="inlineStr">
        <is>
          <t>Lychee Iced Tea</t>
        </is>
      </c>
      <c r="E92" s="8" t="inlineStr">
        <is>
          <t>Iced</t>
        </is>
      </c>
      <c r="F92" s="9" t="n">
        <v>150</v>
      </c>
      <c r="G92" s="8" t="n"/>
    </row>
    <row r="93" ht="15" customHeight="1" s="6">
      <c r="A93" s="8" t="inlineStr">
        <is>
          <t>D047</t>
        </is>
      </c>
      <c r="B93" s="8" t="inlineStr">
        <is>
          <t>Drinks</t>
        </is>
      </c>
      <c r="C93" s="8" t="inlineStr">
        <is>
          <t>Refreshments</t>
        </is>
      </c>
      <c r="D93" s="8" t="inlineStr">
        <is>
          <t>Passionfruit Iced Tea</t>
        </is>
      </c>
      <c r="E93" s="8" t="inlineStr">
        <is>
          <t>Iced</t>
        </is>
      </c>
      <c r="F93" s="9" t="n">
        <v>150</v>
      </c>
      <c r="G93" s="8" t="n"/>
    </row>
    <row r="94" ht="15" customHeight="1" s="6">
      <c r="A94" s="8" t="inlineStr">
        <is>
          <t>D048</t>
        </is>
      </c>
      <c r="B94" s="8" t="inlineStr">
        <is>
          <t>Drinks</t>
        </is>
      </c>
      <c r="C94" s="8" t="inlineStr">
        <is>
          <t>Refreshments</t>
        </is>
      </c>
      <c r="D94" s="8" t="inlineStr">
        <is>
          <t>Raspberry Iced Tea</t>
        </is>
      </c>
      <c r="E94" s="8" t="inlineStr">
        <is>
          <t>Iced</t>
        </is>
      </c>
      <c r="F94" s="9" t="n">
        <v>150</v>
      </c>
      <c r="G94" s="8" t="n"/>
    </row>
    <row r="95" ht="15" customHeight="1" s="6">
      <c r="A95" s="8" t="inlineStr">
        <is>
          <t>D049</t>
        </is>
      </c>
      <c r="B95" s="8" t="inlineStr">
        <is>
          <t>Drinks</t>
        </is>
      </c>
      <c r="C95" s="8" t="inlineStr">
        <is>
          <t>Beverages</t>
        </is>
      </c>
      <c r="D95" s="8" t="inlineStr">
        <is>
          <t>Bottled Water</t>
        </is>
      </c>
      <c r="E95" s="8" t="n"/>
      <c r="F95" s="9" t="n">
        <v>45</v>
      </c>
      <c r="G95" s="8" t="n"/>
    </row>
    <row r="96" ht="15" customHeight="1" s="6">
      <c r="A96" s="8" t="inlineStr">
        <is>
          <t>D050</t>
        </is>
      </c>
      <c r="B96" s="8" t="inlineStr">
        <is>
          <t>Drinks</t>
        </is>
      </c>
      <c r="C96" s="8" t="inlineStr">
        <is>
          <t>Beverages</t>
        </is>
      </c>
      <c r="D96" s="8" t="inlineStr">
        <is>
          <t>Coke in Can</t>
        </is>
      </c>
      <c r="E96" s="8" t="n"/>
      <c r="F96" s="9" t="n">
        <v>90</v>
      </c>
      <c r="G96" s="8" t="n"/>
    </row>
    <row r="97" ht="15" customHeight="1" s="6">
      <c r="A97" s="8" t="inlineStr">
        <is>
          <t>D051</t>
        </is>
      </c>
      <c r="B97" s="8" t="inlineStr">
        <is>
          <t>Drinks</t>
        </is>
      </c>
      <c r="C97" s="8" t="inlineStr">
        <is>
          <t>Beverages</t>
        </is>
      </c>
      <c r="D97" s="8" t="inlineStr">
        <is>
          <t>Coke Zero</t>
        </is>
      </c>
      <c r="E97" s="8" t="n"/>
      <c r="F97" s="9" t="n">
        <v>90</v>
      </c>
      <c r="G97" s="8" t="n"/>
    </row>
    <row r="98" ht="15" customHeight="1" s="6">
      <c r="A98" s="8" t="inlineStr">
        <is>
          <t>D052</t>
        </is>
      </c>
      <c r="B98" s="8" t="inlineStr">
        <is>
          <t>Drinks</t>
        </is>
      </c>
      <c r="C98" s="8" t="inlineStr">
        <is>
          <t>Add-ons / Extras</t>
        </is>
      </c>
      <c r="D98" s="8" t="inlineStr">
        <is>
          <t>Splash of Milk (45g)</t>
        </is>
      </c>
      <c r="E98" s="8" t="n"/>
      <c r="F98" s="9" t="n">
        <v>15</v>
      </c>
      <c r="G98" s="8" t="n"/>
    </row>
    <row r="99" ht="15" customHeight="1" s="6">
      <c r="A99" s="8" t="inlineStr">
        <is>
          <t>D053</t>
        </is>
      </c>
      <c r="B99" s="8" t="inlineStr">
        <is>
          <t>Drinks</t>
        </is>
      </c>
      <c r="C99" s="8" t="inlineStr">
        <is>
          <t>Add-ons / Extras</t>
        </is>
      </c>
      <c r="D99" s="8" t="inlineStr">
        <is>
          <t>Rice</t>
        </is>
      </c>
      <c r="E99" s="8" t="n"/>
      <c r="F99" s="9" t="n">
        <v>40</v>
      </c>
      <c r="G99" s="8" t="n"/>
    </row>
    <row r="100" ht="15" customHeight="1" s="6">
      <c r="A100" s="8" t="inlineStr">
        <is>
          <t>D054</t>
        </is>
      </c>
      <c r="B100" s="8" t="inlineStr">
        <is>
          <t>Drinks</t>
        </is>
      </c>
      <c r="C100" s="8" t="inlineStr">
        <is>
          <t>Add-ons / Extras</t>
        </is>
      </c>
      <c r="D100" s="8" t="inlineStr">
        <is>
          <t>Oatmilk</t>
        </is>
      </c>
      <c r="E100" s="8" t="n"/>
      <c r="F100" s="9" t="n">
        <v>40</v>
      </c>
      <c r="G100" s="8" t="n"/>
    </row>
    <row r="101" ht="15" customHeight="1" s="6">
      <c r="A101" s="8" t="inlineStr">
        <is>
          <t>D055</t>
        </is>
      </c>
      <c r="B101" s="8" t="inlineStr">
        <is>
          <t>Drinks</t>
        </is>
      </c>
      <c r="C101" s="8" t="inlineStr">
        <is>
          <t>Add-ons / Extras</t>
        </is>
      </c>
      <c r="D101" s="8" t="inlineStr">
        <is>
          <t>Espresso Shot</t>
        </is>
      </c>
      <c r="E101" s="8" t="n"/>
      <c r="F101" s="9" t="n">
        <v>50</v>
      </c>
      <c r="G101" s="8" t="n"/>
    </row>
    <row r="102" ht="15" customHeight="1" s="6">
      <c r="A102" s="8" t="inlineStr">
        <is>
          <t>D056</t>
        </is>
      </c>
      <c r="B102" s="8" t="inlineStr">
        <is>
          <t>Drinks</t>
        </is>
      </c>
      <c r="C102" s="8" t="inlineStr">
        <is>
          <t>Add-ons / Extras</t>
        </is>
      </c>
      <c r="D102" s="8" t="inlineStr">
        <is>
          <t>Egg</t>
        </is>
      </c>
      <c r="E102" s="8" t="n"/>
      <c r="F102" s="9" t="n">
        <v>40</v>
      </c>
      <c r="G102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38" customWidth="1" style="5" min="2" max="2"/>
    <col width="12" customWidth="1" style="5" min="3" max="3"/>
    <col width="16" customWidth="1" style="5" min="4" max="4"/>
    <col width="14" customWidth="1" style="5" min="5" max="6"/>
  </cols>
  <sheetData>
    <row r="1" ht="15" customHeight="1" s="6">
      <c r="A1" s="7" t="inlineStr">
        <is>
          <t>Category</t>
        </is>
      </c>
      <c r="B1" s="7" t="inlineStr">
        <is>
          <t>Subcategory</t>
        </is>
      </c>
      <c r="C1" s="7" t="inlineStr">
        <is>
          <t>Item Count</t>
        </is>
      </c>
      <c r="D1" s="7" t="inlineStr">
        <is>
          <t>Avg Price (PHP)</t>
        </is>
      </c>
      <c r="E1" s="7" t="inlineStr">
        <is>
          <t>Min Price (PHP)</t>
        </is>
      </c>
      <c r="F1" s="7" t="inlineStr">
        <is>
          <t>Max Price (PHP)</t>
        </is>
      </c>
    </row>
    <row r="2" ht="15" customHeight="1" s="6">
      <c r="A2" s="8" t="inlineStr">
        <is>
          <t>Food</t>
        </is>
      </c>
      <c r="B2" s="8" t="inlineStr">
        <is>
          <t>All Day Breakfast</t>
        </is>
      </c>
      <c r="C2" s="10">
        <f>COUNTIFS('Menu Master'!$B$2:$B$102,A2,'Menu Master'!$C$2:$C$102,B2)</f>
        <v/>
      </c>
      <c r="D2" s="10">
        <f>ROUND(AVERAGEIFS('Menu Master'!$F$2:$F$102,'Menu Master'!$B$2:$B$102,A2,'Menu Master'!$C$2:$C$102,B2),0)</f>
        <v/>
      </c>
      <c r="E2" s="10">
        <f>_xlfn.MINIFS('Menu Master'!$F$2:$F$102,'Menu Master'!$B$2:$B$102,A2,'Menu Master'!$C$2:$C$102,B2)</f>
        <v/>
      </c>
      <c r="F2" s="10">
        <f>_xlfn.MAXIFS('Menu Master'!$F$2:$F$102,'Menu Master'!$B$2:$B$102,A2,'Menu Master'!$C$2:$C$102,B2)</f>
        <v/>
      </c>
    </row>
    <row r="3" ht="15" customHeight="1" s="6">
      <c r="A3" s="8" t="inlineStr">
        <is>
          <t>Food</t>
        </is>
      </c>
      <c r="B3" s="8" t="inlineStr">
        <is>
          <t>Rice Bowls</t>
        </is>
      </c>
      <c r="C3" s="10">
        <f>COUNTIFS('Menu Master'!$B$2:$B$102,A3,'Menu Master'!$C$2:$C$102,B3)</f>
        <v/>
      </c>
      <c r="D3" s="10">
        <f>ROUND(AVERAGEIFS('Menu Master'!$F$2:$F$102,'Menu Master'!$B$2:$B$102,A3,'Menu Master'!$C$2:$C$102,B3),0)</f>
        <v/>
      </c>
      <c r="E3" s="10">
        <f>_xlfn.MINIFS('Menu Master'!$F$2:$F$102,'Menu Master'!$B$2:$B$102,A3,'Menu Master'!$C$2:$C$102,B3)</f>
        <v/>
      </c>
      <c r="F3" s="10">
        <f>_xlfn.MAXIFS('Menu Master'!$F$2:$F$102,'Menu Master'!$B$2:$B$102,A3,'Menu Master'!$C$2:$C$102,B3)</f>
        <v/>
      </c>
    </row>
    <row r="4" ht="15" customHeight="1" s="6">
      <c r="A4" s="8" t="inlineStr">
        <is>
          <t>Food</t>
        </is>
      </c>
      <c r="B4" s="8" t="inlineStr">
        <is>
          <t>Pasta and Salad</t>
        </is>
      </c>
      <c r="C4" s="10">
        <f>COUNTIFS('Menu Master'!$B$2:$B$102,A4,'Menu Master'!$C$2:$C$102,B4)</f>
        <v/>
      </c>
      <c r="D4" s="10">
        <f>ROUND(AVERAGEIFS('Menu Master'!$F$2:$F$102,'Menu Master'!$B$2:$B$102,A4,'Menu Master'!$C$2:$C$102,B4),0)</f>
        <v/>
      </c>
      <c r="E4" s="10">
        <f>_xlfn.MINIFS('Menu Master'!$F$2:$F$102,'Menu Master'!$B$2:$B$102,A4,'Menu Master'!$C$2:$C$102,B4)</f>
        <v/>
      </c>
      <c r="F4" s="10">
        <f>_xlfn.MAXIFS('Menu Master'!$F$2:$F$102,'Menu Master'!$B$2:$B$102,A4,'Menu Master'!$C$2:$C$102,B4)</f>
        <v/>
      </c>
    </row>
    <row r="5" ht="15" customHeight="1" s="6">
      <c r="A5" s="8" t="inlineStr">
        <is>
          <t>Food</t>
        </is>
      </c>
      <c r="B5" s="8" t="inlineStr">
        <is>
          <t>Burgers and Taco</t>
        </is>
      </c>
      <c r="C5" s="10">
        <f>COUNTIFS('Menu Master'!$B$2:$B$102,A5,'Menu Master'!$C$2:$C$102,B5)</f>
        <v/>
      </c>
      <c r="D5" s="10">
        <f>ROUND(AVERAGEIFS('Menu Master'!$F$2:$F$102,'Menu Master'!$B$2:$B$102,A5,'Menu Master'!$C$2:$C$102,B5),0)</f>
        <v/>
      </c>
      <c r="E5" s="10">
        <f>_xlfn.MINIFS('Menu Master'!$F$2:$F$102,'Menu Master'!$B$2:$B$102,A5,'Menu Master'!$C$2:$C$102,B5)</f>
        <v/>
      </c>
      <c r="F5" s="10">
        <f>_xlfn.MAXIFS('Menu Master'!$F$2:$F$102,'Menu Master'!$B$2:$B$102,A5,'Menu Master'!$C$2:$C$102,B5)</f>
        <v/>
      </c>
    </row>
    <row r="6" ht="15" customHeight="1" s="6">
      <c r="A6" s="8" t="inlineStr">
        <is>
          <t>Food</t>
        </is>
      </c>
      <c r="B6" s="8" t="inlineStr">
        <is>
          <t>Fries and Chips</t>
        </is>
      </c>
      <c r="C6" s="10">
        <f>COUNTIFS('Menu Master'!$B$2:$B$102,A6,'Menu Master'!$C$2:$C$102,B6)</f>
        <v/>
      </c>
      <c r="D6" s="10">
        <f>ROUND(AVERAGEIFS('Menu Master'!$F$2:$F$102,'Menu Master'!$B$2:$B$102,A6,'Menu Master'!$C$2:$C$102,B6),0)</f>
        <v/>
      </c>
      <c r="E6" s="10">
        <f>_xlfn.MINIFS('Menu Master'!$F$2:$F$102,'Menu Master'!$B$2:$B$102,A6,'Menu Master'!$C$2:$C$102,B6)</f>
        <v/>
      </c>
      <c r="F6" s="10">
        <f>_xlfn.MAXIFS('Menu Master'!$F$2:$F$102,'Menu Master'!$B$2:$B$102,A6,'Menu Master'!$C$2:$C$102,B6)</f>
        <v/>
      </c>
    </row>
    <row r="7" ht="15" customHeight="1" s="6">
      <c r="A7" s="8" t="inlineStr">
        <is>
          <t>Food</t>
        </is>
      </c>
      <c r="B7" s="8" t="inlineStr">
        <is>
          <t>Meals</t>
        </is>
      </c>
      <c r="C7" s="10">
        <f>COUNTIFS('Menu Master'!$B$2:$B$102,A7,'Menu Master'!$C$2:$C$102,B7)</f>
        <v/>
      </c>
      <c r="D7" s="10">
        <f>ROUND(AVERAGEIFS('Menu Master'!$F$2:$F$102,'Menu Master'!$B$2:$B$102,A7,'Menu Master'!$C$2:$C$102,B7),0)</f>
        <v/>
      </c>
      <c r="E7" s="10">
        <f>_xlfn.MINIFS('Menu Master'!$F$2:$F$102,'Menu Master'!$B$2:$B$102,A7,'Menu Master'!$C$2:$C$102,B7)</f>
        <v/>
      </c>
      <c r="F7" s="10">
        <f>_xlfn.MAXIFS('Menu Master'!$F$2:$F$102,'Menu Master'!$B$2:$B$102,A7,'Menu Master'!$C$2:$C$102,B7)</f>
        <v/>
      </c>
    </row>
    <row r="8" ht="15" customHeight="1" s="6">
      <c r="A8" s="8" t="inlineStr">
        <is>
          <t>Food</t>
        </is>
      </c>
      <c r="B8" s="8" t="inlineStr">
        <is>
          <t>Low and Slow Texas Style Smoked Barbecue</t>
        </is>
      </c>
      <c r="C8" s="10">
        <f>COUNTIFS('Menu Master'!$B$2:$B$102,A8,'Menu Master'!$C$2:$C$102,B8)</f>
        <v/>
      </c>
      <c r="D8" s="10">
        <f>ROUND(AVERAGEIFS('Menu Master'!$F$2:$F$102,'Menu Master'!$B$2:$B$102,A8,'Menu Master'!$C$2:$C$102,B8),0)</f>
        <v/>
      </c>
      <c r="E8" s="10">
        <f>_xlfn.MINIFS('Menu Master'!$F$2:$F$102,'Menu Master'!$B$2:$B$102,A8,'Menu Master'!$C$2:$C$102,B8)</f>
        <v/>
      </c>
      <c r="F8" s="10">
        <f>_xlfn.MAXIFS('Menu Master'!$F$2:$F$102,'Menu Master'!$B$2:$B$102,A8,'Menu Master'!$C$2:$C$102,B8)</f>
        <v/>
      </c>
    </row>
    <row r="9" ht="15" customHeight="1" s="6">
      <c r="A9" s="8" t="inlineStr">
        <is>
          <t>Food</t>
        </is>
      </c>
      <c r="B9" s="8" t="inlineStr">
        <is>
          <t>For Sharing</t>
        </is>
      </c>
      <c r="C9" s="10">
        <f>COUNTIFS('Menu Master'!$B$2:$B$102,A9,'Menu Master'!$C$2:$C$102,B9)</f>
        <v/>
      </c>
      <c r="D9" s="10">
        <f>ROUND(AVERAGEIFS('Menu Master'!$F$2:$F$102,'Menu Master'!$B$2:$B$102,A9,'Menu Master'!$C$2:$C$102,B9),0)</f>
        <v/>
      </c>
      <c r="E9" s="10">
        <f>_xlfn.MINIFS('Menu Master'!$F$2:$F$102,'Menu Master'!$B$2:$B$102,A9,'Menu Master'!$C$2:$C$102,B9)</f>
        <v/>
      </c>
      <c r="F9" s="10">
        <f>_xlfn.MAXIFS('Menu Master'!$F$2:$F$102,'Menu Master'!$B$2:$B$102,A9,'Menu Master'!$C$2:$C$102,B9)</f>
        <v/>
      </c>
    </row>
    <row r="10" ht="15" customHeight="1" s="6">
      <c r="A10" s="8" t="inlineStr">
        <is>
          <t>Food</t>
        </is>
      </c>
      <c r="B10" s="8" t="inlineStr">
        <is>
          <t>Cakes</t>
        </is>
      </c>
      <c r="C10" s="10">
        <f>COUNTIFS('Menu Master'!$B$2:$B$102,A10,'Menu Master'!$C$2:$C$102,B10)</f>
        <v/>
      </c>
      <c r="D10" s="10">
        <f>ROUND(AVERAGEIFS('Menu Master'!$F$2:$F$102,'Menu Master'!$B$2:$B$102,A10,'Menu Master'!$C$2:$C$102,B10),0)</f>
        <v/>
      </c>
      <c r="E10" s="10">
        <f>_xlfn.MINIFS('Menu Master'!$F$2:$F$102,'Menu Master'!$B$2:$B$102,A10,'Menu Master'!$C$2:$C$102,B10)</f>
        <v/>
      </c>
      <c r="F10" s="10">
        <f>_xlfn.MAXIFS('Menu Master'!$F$2:$F$102,'Menu Master'!$B$2:$B$102,A10,'Menu Master'!$C$2:$C$102,B10)</f>
        <v/>
      </c>
    </row>
    <row r="11" ht="15" customHeight="1" s="6">
      <c r="A11" s="8" t="inlineStr">
        <is>
          <t>Drinks</t>
        </is>
      </c>
      <c r="B11" s="8" t="inlineStr">
        <is>
          <t>Coffee</t>
        </is>
      </c>
      <c r="C11" s="10">
        <f>COUNTIFS('Menu Master'!$B$2:$B$102,A11,'Menu Master'!$C$2:$C$102,B11)</f>
        <v/>
      </c>
      <c r="D11" s="10">
        <f>ROUND(AVERAGEIFS('Menu Master'!$F$2:$F$102,'Menu Master'!$B$2:$B$102,A11,'Menu Master'!$C$2:$C$102,B11),0)</f>
        <v/>
      </c>
      <c r="E11" s="10">
        <f>_xlfn.MINIFS('Menu Master'!$F$2:$F$102,'Menu Master'!$B$2:$B$102,A11,'Menu Master'!$C$2:$C$102,B11)</f>
        <v/>
      </c>
      <c r="F11" s="10">
        <f>_xlfn.MAXIFS('Menu Master'!$F$2:$F$102,'Menu Master'!$B$2:$B$102,A11,'Menu Master'!$C$2:$C$102,B11)</f>
        <v/>
      </c>
    </row>
    <row r="12" ht="15" customHeight="1" s="6">
      <c r="A12" s="8" t="inlineStr">
        <is>
          <t>Drinks</t>
        </is>
      </c>
      <c r="B12" s="8" t="inlineStr">
        <is>
          <t>Non-Coffee</t>
        </is>
      </c>
      <c r="C12" s="10">
        <f>COUNTIFS('Menu Master'!$B$2:$B$102,A12,'Menu Master'!$C$2:$C$102,B12)</f>
        <v/>
      </c>
      <c r="D12" s="10">
        <f>ROUND(AVERAGEIFS('Menu Master'!$F$2:$F$102,'Menu Master'!$B$2:$B$102,A12,'Menu Master'!$C$2:$C$102,B12),0)</f>
        <v/>
      </c>
      <c r="E12" s="10">
        <f>_xlfn.MINIFS('Menu Master'!$F$2:$F$102,'Menu Master'!$B$2:$B$102,A12,'Menu Master'!$C$2:$C$102,B12)</f>
        <v/>
      </c>
      <c r="F12" s="10">
        <f>_xlfn.MAXIFS('Menu Master'!$F$2:$F$102,'Menu Master'!$B$2:$B$102,A12,'Menu Master'!$C$2:$C$102,B12)</f>
        <v/>
      </c>
    </row>
    <row r="13" ht="15" customHeight="1" s="6">
      <c r="A13" s="8" t="inlineStr">
        <is>
          <t>Drinks</t>
        </is>
      </c>
      <c r="B13" s="8" t="inlineStr">
        <is>
          <t>Frappes (espresso based)</t>
        </is>
      </c>
      <c r="C13" s="10">
        <f>COUNTIFS('Menu Master'!$B$2:$B$102,A13,'Menu Master'!$C$2:$C$102,B13)</f>
        <v/>
      </c>
      <c r="D13" s="10">
        <f>ROUND(AVERAGEIFS('Menu Master'!$F$2:$F$102,'Menu Master'!$B$2:$B$102,A13,'Menu Master'!$C$2:$C$102,B13),0)</f>
        <v/>
      </c>
      <c r="E13" s="10">
        <f>_xlfn.MINIFS('Menu Master'!$F$2:$F$102,'Menu Master'!$B$2:$B$102,A13,'Menu Master'!$C$2:$C$102,B13)</f>
        <v/>
      </c>
      <c r="F13" s="10">
        <f>_xlfn.MAXIFS('Menu Master'!$F$2:$F$102,'Menu Master'!$B$2:$B$102,A13,'Menu Master'!$C$2:$C$102,B13)</f>
        <v/>
      </c>
    </row>
    <row r="14" ht="15" customHeight="1" s="6">
      <c r="A14" s="8" t="inlineStr">
        <is>
          <t>Drinks</t>
        </is>
      </c>
      <c r="B14" s="8" t="inlineStr">
        <is>
          <t>Blends</t>
        </is>
      </c>
      <c r="C14" s="10">
        <f>COUNTIFS('Menu Master'!$B$2:$B$102,A14,'Menu Master'!$C$2:$C$102,B14)</f>
        <v/>
      </c>
      <c r="D14" s="10">
        <f>ROUND(AVERAGEIFS('Menu Master'!$F$2:$F$102,'Menu Master'!$B$2:$B$102,A14,'Menu Master'!$C$2:$C$102,B14),0)</f>
        <v/>
      </c>
      <c r="E14" s="10">
        <f>_xlfn.MINIFS('Menu Master'!$F$2:$F$102,'Menu Master'!$B$2:$B$102,A14,'Menu Master'!$C$2:$C$102,B14)</f>
        <v/>
      </c>
      <c r="F14" s="10">
        <f>_xlfn.MAXIFS('Menu Master'!$F$2:$F$102,'Menu Master'!$B$2:$B$102,A14,'Menu Master'!$C$2:$C$102,B14)</f>
        <v/>
      </c>
    </row>
    <row r="15" ht="15" customHeight="1" s="6">
      <c r="A15" s="8" t="inlineStr">
        <is>
          <t>Drinks</t>
        </is>
      </c>
      <c r="B15" s="8" t="inlineStr">
        <is>
          <t>Milkshakes</t>
        </is>
      </c>
      <c r="C15" s="10">
        <f>COUNTIFS('Menu Master'!$B$2:$B$102,A15,'Menu Master'!$C$2:$C$102,B15)</f>
        <v/>
      </c>
      <c r="D15" s="10">
        <f>ROUND(AVERAGEIFS('Menu Master'!$F$2:$F$102,'Menu Master'!$B$2:$B$102,A15,'Menu Master'!$C$2:$C$102,B15),0)</f>
        <v/>
      </c>
      <c r="E15" s="10">
        <f>_xlfn.MINIFS('Menu Master'!$F$2:$F$102,'Menu Master'!$B$2:$B$102,A15,'Menu Master'!$C$2:$C$102,B15)</f>
        <v/>
      </c>
      <c r="F15" s="10">
        <f>_xlfn.MAXIFS('Menu Master'!$F$2:$F$102,'Menu Master'!$B$2:$B$102,A15,'Menu Master'!$C$2:$C$102,B15)</f>
        <v/>
      </c>
    </row>
    <row r="16" ht="15" customHeight="1" s="6">
      <c r="A16" s="8" t="inlineStr">
        <is>
          <t>Drinks</t>
        </is>
      </c>
      <c r="B16" s="8" t="inlineStr">
        <is>
          <t>Refreshments</t>
        </is>
      </c>
      <c r="C16" s="10">
        <f>COUNTIFS('Menu Master'!$B$2:$B$102,A16,'Menu Master'!$C$2:$C$102,B16)</f>
        <v/>
      </c>
      <c r="D16" s="10">
        <f>ROUND(AVERAGEIFS('Menu Master'!$F$2:$F$102,'Menu Master'!$B$2:$B$102,A16,'Menu Master'!$C$2:$C$102,B16),0)</f>
        <v/>
      </c>
      <c r="E16" s="10">
        <f>_xlfn.MINIFS('Menu Master'!$F$2:$F$102,'Menu Master'!$B$2:$B$102,A16,'Menu Master'!$C$2:$C$102,B16)</f>
        <v/>
      </c>
      <c r="F16" s="10">
        <f>_xlfn.MAXIFS('Menu Master'!$F$2:$F$102,'Menu Master'!$B$2:$B$102,A16,'Menu Master'!$C$2:$C$102,B16)</f>
        <v/>
      </c>
    </row>
    <row r="17" ht="15" customHeight="1" s="6">
      <c r="A17" s="8" t="inlineStr">
        <is>
          <t>Drinks</t>
        </is>
      </c>
      <c r="B17" s="8" t="inlineStr">
        <is>
          <t>Beverages</t>
        </is>
      </c>
      <c r="C17" s="10">
        <f>COUNTIFS('Menu Master'!$B$2:$B$102,A17,'Menu Master'!$C$2:$C$102,B17)</f>
        <v/>
      </c>
      <c r="D17" s="10">
        <f>ROUND(AVERAGEIFS('Menu Master'!$F$2:$F$102,'Menu Master'!$B$2:$B$102,A17,'Menu Master'!$C$2:$C$102,B17),0)</f>
        <v/>
      </c>
      <c r="E17" s="10">
        <f>_xlfn.MINIFS('Menu Master'!$F$2:$F$102,'Menu Master'!$B$2:$B$102,A17,'Menu Master'!$C$2:$C$102,B17)</f>
        <v/>
      </c>
      <c r="F17" s="10">
        <f>_xlfn.MAXIFS('Menu Master'!$F$2:$F$102,'Menu Master'!$B$2:$B$102,A17,'Menu Master'!$C$2:$C$102,B17)</f>
        <v/>
      </c>
    </row>
    <row r="18" ht="15" customHeight="1" s="6">
      <c r="A18" s="8" t="inlineStr">
        <is>
          <t>Drinks</t>
        </is>
      </c>
      <c r="B18" s="8" t="inlineStr">
        <is>
          <t>Add-ons / Extras</t>
        </is>
      </c>
      <c r="C18" s="10">
        <f>COUNTIFS('Menu Master'!$B$2:$B$102,A18,'Menu Master'!$C$2:$C$102,B18)</f>
        <v/>
      </c>
      <c r="D18" s="10">
        <f>ROUND(AVERAGEIFS('Menu Master'!$F$2:$F$102,'Menu Master'!$B$2:$B$102,A18,'Menu Master'!$C$2:$C$102,B18),0)</f>
        <v/>
      </c>
      <c r="E18" s="10">
        <f>_xlfn.MINIFS('Menu Master'!$F$2:$F$102,'Menu Master'!$B$2:$B$102,A18,'Menu Master'!$C$2:$C$102,B18)</f>
        <v/>
      </c>
      <c r="F18" s="10">
        <f>_xlfn.MAXIFS('Menu Master'!$F$2:$F$102,'Menu Master'!$B$2:$B$102,A18,'Menu Master'!$C$2:$C$102,B18)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" min="1" max="1"/>
    <col width="26" customWidth="1" style="5" min="2" max="2"/>
    <col width="16" customWidth="1" style="5" min="3" max="4"/>
    <col width="60" customWidth="1" style="5" min="5" max="5"/>
  </cols>
  <sheetData>
    <row r="1" ht="15" customHeight="1" s="6">
      <c r="A1" s="7" t="inlineStr">
        <is>
          <t>Date Noted</t>
        </is>
      </c>
      <c r="B1" s="7" t="inlineStr">
        <is>
          <t>Item</t>
        </is>
      </c>
      <c r="C1" s="7" t="inlineStr">
        <is>
          <t>Old Price (PHP)</t>
        </is>
      </c>
      <c r="D1" s="7" t="inlineStr">
        <is>
          <t>New Price (PHP)</t>
        </is>
      </c>
      <c r="E1" s="7" t="inlineStr">
        <is>
          <t>Source / Notes</t>
        </is>
      </c>
    </row>
    <row r="2" ht="15" customHeight="1" s="6">
      <c r="A2" s="8" t="inlineStr">
        <is>
          <t>2026-05 capture</t>
        </is>
      </c>
      <c r="B2" s="8" t="inlineStr">
        <is>
          <t>Whole Slab Pork Ribs</t>
        </is>
      </c>
      <c r="C2" s="10" t="n">
        <v>1150</v>
      </c>
      <c r="D2" s="10" t="n">
        <v>950</v>
      </c>
      <c r="E2" s="8" t="inlineStr">
        <is>
          <t>Price reduced between menu photo sets (older photo showed 1,150; newer May 2026 Google Maps capture shows 950)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2026-07-16T14:46:23Z</dcterms:created>
  <dcterms:modified xmlns:dcterms="http://purl.org/dc/terms/" xmlns:xsi="http://www.w3.org/2001/XMLSchema-instance" xsi:type="dcterms:W3CDTF">2026-07-16T16:01:16Z</dcterms:modified>
  <cp:revision>0</cp:revision>
</cp:coreProperties>
</file>